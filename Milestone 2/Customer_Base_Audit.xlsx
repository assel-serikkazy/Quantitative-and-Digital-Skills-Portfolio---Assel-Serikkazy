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ata" sheetId="1" r:id="rId5"/>
    <sheet state="visible" name="Charts" sheetId="2" r:id="rId6"/>
  </sheets>
  <definedNames/>
  <calcPr/>
</workbook>
</file>

<file path=xl/sharedStrings.xml><?xml version="1.0" encoding="utf-8"?>
<sst xmlns="http://schemas.openxmlformats.org/spreadsheetml/2006/main" count="30" uniqueCount="15">
  <si>
    <t>Decile</t>
  </si>
  <si>
    <t>Customers</t>
  </si>
  <si>
    <t>Total Transactions</t>
  </si>
  <si>
    <t>Revenue</t>
  </si>
  <si>
    <t>Profit</t>
  </si>
  <si>
    <t>Customers (%)</t>
  </si>
  <si>
    <t>Total Transactions (%)</t>
  </si>
  <si>
    <t>Revenue (%)</t>
  </si>
  <si>
    <t>Profit (%)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</si>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</sst>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horizontal="right" readingOrder="0" vertical="bottom"/>
    </xf>
    <xf borderId="1" fillId="3" fontId="1" numFmtId="0" xfId="0" applyAlignment="1" applyBorder="1" applyFill="1" applyFont="1">
      <alignment horizontal="right" readingOrder="0"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0" fillId="5" fontId="1" numFmtId="0" xfId="0" applyAlignment="1" applyFill="1" applyFont="1">
      <alignment horizontal="right" vertical="bottom"/>
    </xf>
    <xf borderId="0" fillId="5" fontId="1" numFmtId="3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4" fontId="2" numFmtId="4" xfId="0" applyAlignment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vertical="bottom"/>
    </xf>
    <xf borderId="0" fillId="4" fontId="2" numFmtId="9" xfId="0" applyAlignment="1" applyFont="1" applyNumberFormat="1">
      <alignment horizontal="right" vertical="bottom"/>
    </xf>
    <xf borderId="0" fillId="6" fontId="3" numFmtId="0" xfId="0" applyAlignment="1" applyFill="1" applyFont="1">
      <alignment horizontal="right" readingOrder="0" vertical="bottom"/>
    </xf>
    <xf borderId="0" fillId="6" fontId="1" numFmtId="3" xfId="0" applyAlignment="1" applyFont="1" applyNumberFormat="1">
      <alignment horizontal="right" vertical="bottom"/>
    </xf>
    <xf borderId="0" fillId="6" fontId="2" numFmtId="9" xfId="0" applyAlignment="1" applyFont="1" applyNumberFormat="1">
      <alignment horizontal="right" vertical="bottom"/>
    </xf>
    <xf borderId="0" fillId="6" fontId="2" numFmtId="10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6" fontId="2" numFmtId="164" xfId="0" applyAlignment="1" applyFont="1" applyNumberFormat="1">
      <alignment horizontal="right" vertical="bottom"/>
    </xf>
    <xf borderId="0" fillId="6" fontId="2" numFmtId="165" xfId="0" applyAlignment="1" applyFont="1" applyNumberFormat="1">
      <alignment horizontal="right" vertical="bottom"/>
    </xf>
    <xf borderId="0" fillId="0" fontId="4" numFmtId="0" xfId="0" applyAlignment="1" applyFont="1">
      <alignment horizontal="center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Charts!$H$1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Charts!$A$2:$A$11</c:f>
            </c:strRef>
          </c:cat>
          <c:val>
            <c:numRef>
              <c:f>Charts!$H$2:$H$11</c:f>
              <c:numCache/>
            </c:numRef>
          </c:val>
        </c:ser>
        <c:ser>
          <c:idx val="1"/>
          <c:order val="1"/>
          <c:tx>
            <c:strRef>
              <c:f>Charts!$I$1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Charts!$A$2:$A$11</c:f>
            </c:strRef>
          </c:cat>
          <c:val>
            <c:numRef>
              <c:f>Charts!$I$2:$I$11</c:f>
              <c:numCache/>
            </c:numRef>
          </c:val>
        </c:ser>
        <c:axId val="908530049"/>
        <c:axId val="322708467"/>
      </c:barChart>
      <c:catAx>
        <c:axId val="908530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708467"/>
      </c:catAx>
      <c:valAx>
        <c:axId val="322708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530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13</xdr:row>
      <xdr:rowOff>142875</xdr:rowOff>
    </xdr:from>
    <xdr:ext cx="4667250" cy="2886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190500</xdr:rowOff>
    </xdr:from>
    <xdr:ext cx="4267200" cy="2638425"/>
    <xdr:pic>
      <xdr:nvPicPr>
        <xdr:cNvPr id="4076887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7">
        <f t="shared" ref="F2:I2" si="1">B2/B$12</f>
        <v>0.1000094349</v>
      </c>
      <c r="G2" s="8">
        <f t="shared" si="1"/>
        <v>0.2857166177</v>
      </c>
      <c r="H2" s="8">
        <f t="shared" si="1"/>
        <v>0.3960449742</v>
      </c>
      <c r="I2" s="8">
        <f t="shared" si="1"/>
        <v>0.3984214517</v>
      </c>
      <c r="J2" s="9">
        <f t="shared" ref="J2:J11" si="4">D2/B2</f>
        <v>40551.1022</v>
      </c>
      <c r="K2" s="9">
        <f t="shared" ref="K2:K12" si="5">E2/B2</f>
        <v>19547.22484</v>
      </c>
      <c r="L2" s="10">
        <f t="shared" ref="L2:N2" si="2">C2/B2</f>
        <v>5.50408805</v>
      </c>
      <c r="M2" s="11">
        <f t="shared" si="2"/>
        <v>7367.45158</v>
      </c>
      <c r="N2" s="12">
        <f t="shared" si="2"/>
        <v>0.4820392981</v>
      </c>
    </row>
    <row r="3">
      <c r="A3" s="5">
        <v>2.0</v>
      </c>
      <c r="B3" s="6">
        <v>3180.0</v>
      </c>
      <c r="C3" s="6">
        <v>8703.0</v>
      </c>
      <c r="D3" s="6">
        <v>5.5542905E7</v>
      </c>
      <c r="E3" s="6">
        <v>2.707903E7</v>
      </c>
      <c r="F3" s="7">
        <f t="shared" ref="F3:I3" si="3">B3/B$12</f>
        <v>0.1000094349</v>
      </c>
      <c r="G3" s="8">
        <f t="shared" si="3"/>
        <v>0.1420666014</v>
      </c>
      <c r="H3" s="8">
        <f t="shared" si="3"/>
        <v>0.1705859718</v>
      </c>
      <c r="I3" s="8">
        <f t="shared" si="3"/>
        <v>0.1735655738</v>
      </c>
      <c r="J3" s="9">
        <f t="shared" si="4"/>
        <v>17466.32233</v>
      </c>
      <c r="K3" s="9">
        <f t="shared" si="5"/>
        <v>8515.418239</v>
      </c>
      <c r="L3" s="10">
        <f t="shared" ref="L3:N3" si="6">C3/B3</f>
        <v>2.736792453</v>
      </c>
      <c r="M3" s="11">
        <f t="shared" si="6"/>
        <v>6382.04125</v>
      </c>
      <c r="N3" s="12">
        <f t="shared" si="6"/>
        <v>0.4875335563</v>
      </c>
    </row>
    <row r="4">
      <c r="A4" s="5">
        <v>3.0</v>
      </c>
      <c r="B4" s="6">
        <v>3177.0</v>
      </c>
      <c r="C4" s="6">
        <v>6345.0</v>
      </c>
      <c r="D4" s="6">
        <v>3.8274225E7</v>
      </c>
      <c r="E4" s="6">
        <v>1.8722055E7</v>
      </c>
      <c r="F4" s="7">
        <f t="shared" ref="F4:I4" si="7">B4/B$12</f>
        <v>0.09991508633</v>
      </c>
      <c r="G4" s="8">
        <f t="shared" si="7"/>
        <v>0.1035749265</v>
      </c>
      <c r="H4" s="8">
        <f t="shared" si="7"/>
        <v>0.1175495928</v>
      </c>
      <c r="I4" s="8">
        <f t="shared" si="7"/>
        <v>0.1200007615</v>
      </c>
      <c r="J4" s="9">
        <f t="shared" si="4"/>
        <v>12047.28517</v>
      </c>
      <c r="K4" s="9">
        <f t="shared" si="5"/>
        <v>5892.998111</v>
      </c>
      <c r="L4" s="10">
        <f t="shared" ref="L4:N4" si="8">C4/B4</f>
        <v>1.997167139</v>
      </c>
      <c r="M4" s="11">
        <f t="shared" si="8"/>
        <v>6032.186761</v>
      </c>
      <c r="N4" s="12">
        <f t="shared" si="8"/>
        <v>0.4891556916</v>
      </c>
    </row>
    <row r="5">
      <c r="A5" s="5">
        <v>4.0</v>
      </c>
      <c r="B5" s="6">
        <v>3178.0</v>
      </c>
      <c r="C5" s="6">
        <v>5349.0</v>
      </c>
      <c r="D5" s="6">
        <v>2.901701E7</v>
      </c>
      <c r="E5" s="6">
        <v>1.3916595E7</v>
      </c>
      <c r="F5" s="7">
        <f t="shared" ref="F5:I5" si="9">B5/B$12</f>
        <v>0.09994653584</v>
      </c>
      <c r="G5" s="8">
        <f t="shared" si="9"/>
        <v>0.08731635651</v>
      </c>
      <c r="H5" s="8">
        <f t="shared" si="9"/>
        <v>0.08911840044</v>
      </c>
      <c r="I5" s="8">
        <f t="shared" si="9"/>
        <v>0.08919971643</v>
      </c>
      <c r="J5" s="9">
        <f t="shared" si="4"/>
        <v>9130.58842</v>
      </c>
      <c r="K5" s="9">
        <f t="shared" si="5"/>
        <v>4379.04185</v>
      </c>
      <c r="L5" s="10">
        <f t="shared" ref="L5:N5" si="10">C5/B5</f>
        <v>1.683134047</v>
      </c>
      <c r="M5" s="11">
        <f t="shared" si="10"/>
        <v>5424.75416</v>
      </c>
      <c r="N5" s="12">
        <f t="shared" si="10"/>
        <v>0.4796012753</v>
      </c>
    </row>
    <row r="6">
      <c r="A6" s="5">
        <v>5.0</v>
      </c>
      <c r="B6" s="6">
        <v>3183.0</v>
      </c>
      <c r="C6" s="6">
        <v>4683.0</v>
      </c>
      <c r="D6" s="6">
        <v>2.2555225E7</v>
      </c>
      <c r="E6" s="6">
        <v>1.0734405E7</v>
      </c>
      <c r="F6" s="7">
        <f t="shared" ref="F6:I6" si="11">B6/B$12</f>
        <v>0.1001037834</v>
      </c>
      <c r="G6" s="8">
        <f t="shared" si="11"/>
        <v>0.0764446621</v>
      </c>
      <c r="H6" s="8">
        <f t="shared" si="11"/>
        <v>0.06927266364</v>
      </c>
      <c r="I6" s="8">
        <f t="shared" si="11"/>
        <v>0.06880317218</v>
      </c>
      <c r="J6" s="9">
        <f t="shared" si="4"/>
        <v>7086.153</v>
      </c>
      <c r="K6" s="9">
        <f t="shared" si="5"/>
        <v>3372.417531</v>
      </c>
      <c r="L6" s="10">
        <f t="shared" ref="L6:N6" si="12">C6/B6</f>
        <v>1.471253534</v>
      </c>
      <c r="M6" s="11">
        <f t="shared" si="12"/>
        <v>4816.405082</v>
      </c>
      <c r="N6" s="12">
        <f t="shared" si="12"/>
        <v>0.4759165559</v>
      </c>
    </row>
    <row r="7">
      <c r="A7" s="5">
        <v>6.0</v>
      </c>
      <c r="B7" s="6">
        <v>3124.0</v>
      </c>
      <c r="C7" s="6">
        <v>4330.0</v>
      </c>
      <c r="D7" s="6">
        <v>1.7169955E7</v>
      </c>
      <c r="E7" s="6">
        <v>7948270.0</v>
      </c>
      <c r="F7" s="7">
        <f t="shared" ref="F7:I7" si="13">B7/B$12</f>
        <v>0.09824826241</v>
      </c>
      <c r="G7" s="8">
        <f t="shared" si="13"/>
        <v>0.07068233758</v>
      </c>
      <c r="H7" s="8">
        <f t="shared" si="13"/>
        <v>0.05273317014</v>
      </c>
      <c r="I7" s="8">
        <f t="shared" si="13"/>
        <v>0.05094517948</v>
      </c>
      <c r="J7" s="9">
        <f t="shared" si="4"/>
        <v>5496.144366</v>
      </c>
      <c r="K7" s="9">
        <f t="shared" si="5"/>
        <v>2544.260563</v>
      </c>
      <c r="L7" s="10">
        <f t="shared" ref="L7:N7" si="14">C7/B7</f>
        <v>1.386043534</v>
      </c>
      <c r="M7" s="11">
        <f t="shared" si="14"/>
        <v>3965.347575</v>
      </c>
      <c r="N7" s="12">
        <f t="shared" si="14"/>
        <v>0.462917346</v>
      </c>
    </row>
    <row r="8">
      <c r="A8" s="5">
        <v>7.0</v>
      </c>
      <c r="B8" s="6">
        <v>3233.0</v>
      </c>
      <c r="C8" s="6">
        <v>4004.0</v>
      </c>
      <c r="D8" s="6">
        <v>1.347071E7</v>
      </c>
      <c r="E8" s="6">
        <v>6240025.0</v>
      </c>
      <c r="F8" s="7">
        <f t="shared" ref="F8:I8" si="15">B8/B$12</f>
        <v>0.1016762588</v>
      </c>
      <c r="G8" s="8">
        <f t="shared" si="15"/>
        <v>0.06536075743</v>
      </c>
      <c r="H8" s="8">
        <f t="shared" si="15"/>
        <v>0.0413718756</v>
      </c>
      <c r="I8" s="8">
        <f t="shared" si="15"/>
        <v>0.03999602349</v>
      </c>
      <c r="J8" s="9">
        <f t="shared" si="4"/>
        <v>4166.628518</v>
      </c>
      <c r="K8" s="9">
        <f t="shared" si="5"/>
        <v>1930.103619</v>
      </c>
      <c r="L8" s="10">
        <f t="shared" ref="L8:N8" si="16">C8/B8</f>
        <v>1.238478194</v>
      </c>
      <c r="M8" s="11">
        <f t="shared" si="16"/>
        <v>3364.313187</v>
      </c>
      <c r="N8" s="12">
        <f t="shared" si="16"/>
        <v>0.4632291097</v>
      </c>
    </row>
    <row r="9">
      <c r="A9" s="5">
        <v>8.0</v>
      </c>
      <c r="B9" s="6">
        <v>2996.0</v>
      </c>
      <c r="C9" s="6">
        <v>3414.0</v>
      </c>
      <c r="D9" s="6">
        <v>9381075.0</v>
      </c>
      <c r="E9" s="6">
        <v>4326685.0</v>
      </c>
      <c r="F9" s="7">
        <f t="shared" ref="F9:I9" si="17">B9/B$12</f>
        <v>0.09422272541</v>
      </c>
      <c r="G9" s="8">
        <f t="shared" si="17"/>
        <v>0.05572967679</v>
      </c>
      <c r="H9" s="8">
        <f t="shared" si="17"/>
        <v>0.028811597</v>
      </c>
      <c r="I9" s="8">
        <f t="shared" si="17"/>
        <v>0.02773229192</v>
      </c>
      <c r="J9" s="9">
        <f t="shared" si="4"/>
        <v>3131.199933</v>
      </c>
      <c r="K9" s="9">
        <f t="shared" si="5"/>
        <v>1444.153872</v>
      </c>
      <c r="L9" s="10">
        <f t="shared" ref="L9:N9" si="18">C9/B9</f>
        <v>1.139519359</v>
      </c>
      <c r="M9" s="11">
        <f t="shared" si="18"/>
        <v>2747.825132</v>
      </c>
      <c r="N9" s="12">
        <f t="shared" si="18"/>
        <v>0.4612141999</v>
      </c>
    </row>
    <row r="10">
      <c r="A10" s="5">
        <v>9.0</v>
      </c>
      <c r="B10" s="6">
        <v>3360.0</v>
      </c>
      <c r="C10" s="6">
        <v>3659.0</v>
      </c>
      <c r="D10" s="6">
        <v>7496500.0</v>
      </c>
      <c r="E10" s="6">
        <v>3334100.0</v>
      </c>
      <c r="F10" s="7">
        <f t="shared" ref="F10:I10" si="19">B10/B$12</f>
        <v>0.1056703463</v>
      </c>
      <c r="G10" s="8">
        <f t="shared" si="19"/>
        <v>0.05972902383</v>
      </c>
      <c r="H10" s="8">
        <f t="shared" si="19"/>
        <v>0.02302360198</v>
      </c>
      <c r="I10" s="8">
        <f t="shared" si="19"/>
        <v>0.02137022559</v>
      </c>
      <c r="J10" s="9">
        <f t="shared" si="4"/>
        <v>2231.10119</v>
      </c>
      <c r="K10" s="9">
        <f t="shared" si="5"/>
        <v>992.2916667</v>
      </c>
      <c r="L10" s="10">
        <f t="shared" ref="L10:N10" si="20">C10/B10</f>
        <v>1.088988095</v>
      </c>
      <c r="M10" s="11">
        <f t="shared" si="20"/>
        <v>2048.783821</v>
      </c>
      <c r="N10" s="12">
        <f t="shared" si="20"/>
        <v>0.4447542186</v>
      </c>
    </row>
    <row r="11">
      <c r="A11" s="5">
        <v>10.0</v>
      </c>
      <c r="B11" s="6">
        <v>3186.0</v>
      </c>
      <c r="C11" s="6">
        <v>3270.0</v>
      </c>
      <c r="D11" s="6">
        <v>3740550.0</v>
      </c>
      <c r="E11" s="6">
        <v>1554795.0</v>
      </c>
      <c r="F11" s="7">
        <f t="shared" ref="F11:I11" si="21">B11/B$12</f>
        <v>0.1001981319</v>
      </c>
      <c r="G11" s="8">
        <f t="shared" si="21"/>
        <v>0.05337904016</v>
      </c>
      <c r="H11" s="8">
        <f t="shared" si="21"/>
        <v>0.01148815239</v>
      </c>
      <c r="I11" s="8">
        <f t="shared" si="21"/>
        <v>0.009965603878</v>
      </c>
      <c r="J11" s="9">
        <f t="shared" si="4"/>
        <v>1174.05838</v>
      </c>
      <c r="K11" s="9">
        <f t="shared" si="5"/>
        <v>488.0084746</v>
      </c>
      <c r="L11" s="10">
        <f t="shared" ref="L11:N11" si="22">C11/B11</f>
        <v>1.026365348</v>
      </c>
      <c r="M11" s="11">
        <f t="shared" si="22"/>
        <v>1143.899083</v>
      </c>
      <c r="N11" s="12">
        <f t="shared" si="22"/>
        <v>0.4156594618</v>
      </c>
    </row>
    <row r="12">
      <c r="A12" s="13" t="s">
        <v>14</v>
      </c>
      <c r="B12" s="14">
        <f t="shared" ref="B12:E12" si="23">SUM(B2:B11)</f>
        <v>31797</v>
      </c>
      <c r="C12" s="14">
        <f t="shared" si="23"/>
        <v>61260</v>
      </c>
      <c r="D12" s="14">
        <f t="shared" si="23"/>
        <v>325600660</v>
      </c>
      <c r="E12" s="14">
        <f t="shared" si="23"/>
        <v>156016135</v>
      </c>
      <c r="F12" s="15">
        <f t="shared" ref="F12:I12" si="24">B12/B$12</f>
        <v>1</v>
      </c>
      <c r="G12" s="16">
        <f t="shared" si="24"/>
        <v>1</v>
      </c>
      <c r="H12" s="16">
        <f t="shared" si="24"/>
        <v>1</v>
      </c>
      <c r="I12" s="16">
        <f t="shared" si="24"/>
        <v>1</v>
      </c>
      <c r="J12" s="17"/>
      <c r="K12" s="17">
        <f t="shared" si="5"/>
        <v>4906.630657</v>
      </c>
      <c r="L12" s="18">
        <f t="shared" ref="L12:N12" si="25">C12/B12</f>
        <v>1.926596849</v>
      </c>
      <c r="M12" s="19">
        <f t="shared" si="25"/>
        <v>5315.061378</v>
      </c>
      <c r="N12" s="15">
        <f t="shared" si="25"/>
        <v>0.4791640625</v>
      </c>
    </row>
    <row r="13">
      <c r="A13" s="20"/>
      <c r="B13" s="20"/>
      <c r="C13" s="20"/>
      <c r="D13" s="20"/>
      <c r="E13" s="20"/>
      <c r="J13" s="21"/>
      <c r="K13" s="21"/>
      <c r="L13" s="21"/>
      <c r="M13" s="21"/>
      <c r="N13" s="21"/>
    </row>
    <row r="14">
      <c r="A14" s="20"/>
      <c r="B14" s="20"/>
      <c r="C14" s="20"/>
      <c r="D14" s="20"/>
      <c r="E14" s="20"/>
    </row>
    <row r="15">
      <c r="A15" s="20"/>
      <c r="B15" s="20"/>
      <c r="C15" s="20"/>
      <c r="D15" s="20"/>
      <c r="E15" s="20"/>
    </row>
    <row r="16">
      <c r="A16" s="20"/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>
      <c r="A21" s="20"/>
      <c r="B21" s="20"/>
      <c r="C21" s="20"/>
      <c r="D21" s="20"/>
      <c r="E21" s="20"/>
    </row>
    <row r="22">
      <c r="A22" s="20"/>
      <c r="B22" s="20"/>
      <c r="C22" s="20"/>
      <c r="D22" s="20"/>
      <c r="E22" s="20"/>
    </row>
    <row r="23">
      <c r="A23" s="20"/>
      <c r="B23" s="20"/>
      <c r="C23" s="20"/>
      <c r="D23" s="20"/>
      <c r="E23" s="20"/>
    </row>
    <row r="24">
      <c r="A24" s="20"/>
      <c r="B24" s="20"/>
      <c r="C24" s="20"/>
      <c r="D24" s="20"/>
      <c r="E24" s="20"/>
    </row>
    <row r="25">
      <c r="A25" s="20"/>
      <c r="B25" s="20"/>
      <c r="C25" s="20"/>
      <c r="D25" s="20"/>
      <c r="E25" s="20"/>
    </row>
    <row r="26">
      <c r="A26" s="20"/>
      <c r="B26" s="20"/>
      <c r="C26" s="20"/>
      <c r="D26" s="20"/>
      <c r="E26" s="20"/>
    </row>
    <row r="27">
      <c r="A27" s="20"/>
      <c r="B27" s="20"/>
      <c r="C27" s="20"/>
      <c r="D27" s="20"/>
      <c r="E27" s="20"/>
    </row>
    <row r="28">
      <c r="A28" s="20"/>
      <c r="B28" s="20"/>
      <c r="C28" s="20"/>
      <c r="D28" s="20"/>
      <c r="E28" s="20"/>
    </row>
    <row r="29">
      <c r="A29" s="20"/>
      <c r="B29" s="20"/>
      <c r="C29" s="20"/>
      <c r="D29" s="20"/>
      <c r="E29" s="20"/>
    </row>
    <row r="30">
      <c r="A30" s="20"/>
      <c r="B30" s="20"/>
      <c r="C30" s="20"/>
      <c r="D30" s="20"/>
      <c r="E30" s="20"/>
    </row>
    <row r="31">
      <c r="A31" s="20"/>
      <c r="B31" s="20"/>
      <c r="C31" s="20"/>
      <c r="D31" s="20"/>
      <c r="E31" s="20"/>
    </row>
    <row r="32">
      <c r="A32" s="20"/>
      <c r="B32" s="20"/>
      <c r="C32" s="20"/>
      <c r="D32" s="20"/>
      <c r="E32" s="20"/>
    </row>
    <row r="33">
      <c r="A33" s="20"/>
      <c r="B33" s="20"/>
      <c r="C33" s="20"/>
      <c r="D33" s="20"/>
      <c r="E33" s="20"/>
    </row>
    <row r="34">
      <c r="A34" s="20"/>
      <c r="B34" s="20"/>
      <c r="C34" s="20"/>
      <c r="D34" s="20"/>
      <c r="E34" s="20"/>
    </row>
    <row r="35">
      <c r="A35" s="20"/>
      <c r="B35" s="20"/>
      <c r="C35" s="20"/>
      <c r="D35" s="20"/>
      <c r="E35" s="20"/>
    </row>
    <row r="36">
      <c r="A36" s="20"/>
      <c r="B36" s="20"/>
      <c r="C36" s="20"/>
      <c r="D36" s="20"/>
      <c r="E36" s="20"/>
    </row>
    <row r="37">
      <c r="A37" s="20"/>
      <c r="B37" s="20"/>
      <c r="C37" s="20"/>
      <c r="D37" s="20"/>
      <c r="E37" s="20"/>
    </row>
    <row r="38">
      <c r="A38" s="20"/>
      <c r="B38" s="20"/>
      <c r="C38" s="20"/>
      <c r="D38" s="20"/>
      <c r="E38" s="20"/>
    </row>
    <row r="39">
      <c r="A39" s="20"/>
      <c r="B39" s="20"/>
      <c r="C39" s="20"/>
      <c r="D39" s="20"/>
      <c r="E39" s="20"/>
    </row>
    <row r="40">
      <c r="A40" s="20"/>
      <c r="B40" s="20"/>
      <c r="C40" s="20"/>
      <c r="D40" s="20"/>
      <c r="E40" s="20"/>
    </row>
    <row r="41">
      <c r="A41" s="20"/>
      <c r="B41" s="20"/>
      <c r="C41" s="20"/>
      <c r="D41" s="20"/>
      <c r="E41" s="20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1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7">
        <f t="shared" ref="F2:I2" si="1">B2/B$12</f>
        <v>0.1000094349</v>
      </c>
      <c r="G2" s="8">
        <f t="shared" si="1"/>
        <v>0.2857166177</v>
      </c>
      <c r="H2" s="8">
        <f t="shared" si="1"/>
        <v>0.3960449742</v>
      </c>
      <c r="I2" s="8">
        <f t="shared" si="1"/>
        <v>0.3984214517</v>
      </c>
      <c r="J2" s="9">
        <f t="shared" ref="J2:J11" si="4">D2/B2</f>
        <v>40551.1022</v>
      </c>
      <c r="K2" s="9">
        <f t="shared" ref="K2:K12" si="5">E2/B2</f>
        <v>19547.22484</v>
      </c>
      <c r="L2" s="10">
        <f t="shared" ref="L2:N2" si="2">C2/B2</f>
        <v>5.50408805</v>
      </c>
      <c r="M2" s="11">
        <f t="shared" si="2"/>
        <v>7367.45158</v>
      </c>
      <c r="N2" s="12">
        <f t="shared" si="2"/>
        <v>0.4820392981</v>
      </c>
    </row>
    <row r="3">
      <c r="A3" s="5">
        <v>2.0</v>
      </c>
      <c r="B3" s="6">
        <v>3180.0</v>
      </c>
      <c r="C3" s="6">
        <v>8703.0</v>
      </c>
      <c r="D3" s="6">
        <v>5.5542905E7</v>
      </c>
      <c r="E3" s="6">
        <v>2.707903E7</v>
      </c>
      <c r="F3" s="7">
        <f t="shared" ref="F3:I3" si="3">B3/B$12</f>
        <v>0.1000094349</v>
      </c>
      <c r="G3" s="8">
        <f t="shared" si="3"/>
        <v>0.1420666014</v>
      </c>
      <c r="H3" s="8">
        <f t="shared" si="3"/>
        <v>0.1705859718</v>
      </c>
      <c r="I3" s="8">
        <f t="shared" si="3"/>
        <v>0.1735655738</v>
      </c>
      <c r="J3" s="9">
        <f t="shared" si="4"/>
        <v>17466.32233</v>
      </c>
      <c r="K3" s="9">
        <f t="shared" si="5"/>
        <v>8515.418239</v>
      </c>
      <c r="L3" s="10">
        <f t="shared" ref="L3:N3" si="6">C3/B3</f>
        <v>2.736792453</v>
      </c>
      <c r="M3" s="11">
        <f t="shared" si="6"/>
        <v>6382.04125</v>
      </c>
      <c r="N3" s="12">
        <f t="shared" si="6"/>
        <v>0.4875335563</v>
      </c>
    </row>
    <row r="4">
      <c r="A4" s="5">
        <v>3.0</v>
      </c>
      <c r="B4" s="6">
        <v>3177.0</v>
      </c>
      <c r="C4" s="6">
        <v>6345.0</v>
      </c>
      <c r="D4" s="6">
        <v>3.8274225E7</v>
      </c>
      <c r="E4" s="6">
        <v>1.8722055E7</v>
      </c>
      <c r="F4" s="7">
        <f t="shared" ref="F4:I4" si="7">B4/B$12</f>
        <v>0.09991508633</v>
      </c>
      <c r="G4" s="8">
        <f t="shared" si="7"/>
        <v>0.1035749265</v>
      </c>
      <c r="H4" s="8">
        <f t="shared" si="7"/>
        <v>0.1175495928</v>
      </c>
      <c r="I4" s="8">
        <f t="shared" si="7"/>
        <v>0.1200007615</v>
      </c>
      <c r="J4" s="9">
        <f t="shared" si="4"/>
        <v>12047.28517</v>
      </c>
      <c r="K4" s="9">
        <f t="shared" si="5"/>
        <v>5892.998111</v>
      </c>
      <c r="L4" s="10">
        <f t="shared" ref="L4:N4" si="8">C4/B4</f>
        <v>1.997167139</v>
      </c>
      <c r="M4" s="11">
        <f t="shared" si="8"/>
        <v>6032.186761</v>
      </c>
      <c r="N4" s="12">
        <f t="shared" si="8"/>
        <v>0.4891556916</v>
      </c>
    </row>
    <row r="5">
      <c r="A5" s="5">
        <v>4.0</v>
      </c>
      <c r="B5" s="6">
        <v>3178.0</v>
      </c>
      <c r="C5" s="6">
        <v>5349.0</v>
      </c>
      <c r="D5" s="6">
        <v>2.901701E7</v>
      </c>
      <c r="E5" s="6">
        <v>1.3916595E7</v>
      </c>
      <c r="F5" s="7">
        <f t="shared" ref="F5:I5" si="9">B5/B$12</f>
        <v>0.09994653584</v>
      </c>
      <c r="G5" s="8">
        <f t="shared" si="9"/>
        <v>0.08731635651</v>
      </c>
      <c r="H5" s="8">
        <f t="shared" si="9"/>
        <v>0.08911840044</v>
      </c>
      <c r="I5" s="8">
        <f t="shared" si="9"/>
        <v>0.08919971643</v>
      </c>
      <c r="J5" s="9">
        <f t="shared" si="4"/>
        <v>9130.58842</v>
      </c>
      <c r="K5" s="9">
        <f t="shared" si="5"/>
        <v>4379.04185</v>
      </c>
      <c r="L5" s="10">
        <f t="shared" ref="L5:N5" si="10">C5/B5</f>
        <v>1.683134047</v>
      </c>
      <c r="M5" s="11">
        <f t="shared" si="10"/>
        <v>5424.75416</v>
      </c>
      <c r="N5" s="12">
        <f t="shared" si="10"/>
        <v>0.4796012753</v>
      </c>
    </row>
    <row r="6">
      <c r="A6" s="5">
        <v>5.0</v>
      </c>
      <c r="B6" s="6">
        <v>3183.0</v>
      </c>
      <c r="C6" s="6">
        <v>4683.0</v>
      </c>
      <c r="D6" s="6">
        <v>2.2555225E7</v>
      </c>
      <c r="E6" s="6">
        <v>1.0734405E7</v>
      </c>
      <c r="F6" s="7">
        <f t="shared" ref="F6:I6" si="11">B6/B$12</f>
        <v>0.1001037834</v>
      </c>
      <c r="G6" s="8">
        <f t="shared" si="11"/>
        <v>0.0764446621</v>
      </c>
      <c r="H6" s="8">
        <f t="shared" si="11"/>
        <v>0.06927266364</v>
      </c>
      <c r="I6" s="8">
        <f t="shared" si="11"/>
        <v>0.06880317218</v>
      </c>
      <c r="J6" s="9">
        <f t="shared" si="4"/>
        <v>7086.153</v>
      </c>
      <c r="K6" s="9">
        <f t="shared" si="5"/>
        <v>3372.417531</v>
      </c>
      <c r="L6" s="10">
        <f t="shared" ref="L6:N6" si="12">C6/B6</f>
        <v>1.471253534</v>
      </c>
      <c r="M6" s="11">
        <f t="shared" si="12"/>
        <v>4816.405082</v>
      </c>
      <c r="N6" s="12">
        <f t="shared" si="12"/>
        <v>0.4759165559</v>
      </c>
    </row>
    <row r="7">
      <c r="A7" s="5">
        <v>6.0</v>
      </c>
      <c r="B7" s="6">
        <v>3124.0</v>
      </c>
      <c r="C7" s="6">
        <v>4330.0</v>
      </c>
      <c r="D7" s="6">
        <v>1.7169955E7</v>
      </c>
      <c r="E7" s="6">
        <v>7948270.0</v>
      </c>
      <c r="F7" s="7">
        <f t="shared" ref="F7:I7" si="13">B7/B$12</f>
        <v>0.09824826241</v>
      </c>
      <c r="G7" s="8">
        <f t="shared" si="13"/>
        <v>0.07068233758</v>
      </c>
      <c r="H7" s="8">
        <f t="shared" si="13"/>
        <v>0.05273317014</v>
      </c>
      <c r="I7" s="8">
        <f t="shared" si="13"/>
        <v>0.05094517948</v>
      </c>
      <c r="J7" s="9">
        <f t="shared" si="4"/>
        <v>5496.144366</v>
      </c>
      <c r="K7" s="9">
        <f t="shared" si="5"/>
        <v>2544.260563</v>
      </c>
      <c r="L7" s="10">
        <f t="shared" ref="L7:N7" si="14">C7/B7</f>
        <v>1.386043534</v>
      </c>
      <c r="M7" s="11">
        <f t="shared" si="14"/>
        <v>3965.347575</v>
      </c>
      <c r="N7" s="12">
        <f t="shared" si="14"/>
        <v>0.462917346</v>
      </c>
    </row>
    <row r="8">
      <c r="A8" s="5">
        <v>7.0</v>
      </c>
      <c r="B8" s="6">
        <v>3233.0</v>
      </c>
      <c r="C8" s="6">
        <v>4004.0</v>
      </c>
      <c r="D8" s="6">
        <v>1.347071E7</v>
      </c>
      <c r="E8" s="6">
        <v>6240025.0</v>
      </c>
      <c r="F8" s="7">
        <f t="shared" ref="F8:I8" si="15">B8/B$12</f>
        <v>0.1016762588</v>
      </c>
      <c r="G8" s="8">
        <f t="shared" si="15"/>
        <v>0.06536075743</v>
      </c>
      <c r="H8" s="8">
        <f t="shared" si="15"/>
        <v>0.0413718756</v>
      </c>
      <c r="I8" s="8">
        <f t="shared" si="15"/>
        <v>0.03999602349</v>
      </c>
      <c r="J8" s="9">
        <f t="shared" si="4"/>
        <v>4166.628518</v>
      </c>
      <c r="K8" s="9">
        <f t="shared" si="5"/>
        <v>1930.103619</v>
      </c>
      <c r="L8" s="10">
        <f t="shared" ref="L8:N8" si="16">C8/B8</f>
        <v>1.238478194</v>
      </c>
      <c r="M8" s="11">
        <f t="shared" si="16"/>
        <v>3364.313187</v>
      </c>
      <c r="N8" s="12">
        <f t="shared" si="16"/>
        <v>0.4632291097</v>
      </c>
    </row>
    <row r="9">
      <c r="A9" s="5">
        <v>8.0</v>
      </c>
      <c r="B9" s="6">
        <v>2996.0</v>
      </c>
      <c r="C9" s="6">
        <v>3414.0</v>
      </c>
      <c r="D9" s="6">
        <v>9381075.0</v>
      </c>
      <c r="E9" s="6">
        <v>4326685.0</v>
      </c>
      <c r="F9" s="7">
        <f t="shared" ref="F9:I9" si="17">B9/B$12</f>
        <v>0.09422272541</v>
      </c>
      <c r="G9" s="8">
        <f t="shared" si="17"/>
        <v>0.05572967679</v>
      </c>
      <c r="H9" s="8">
        <f t="shared" si="17"/>
        <v>0.028811597</v>
      </c>
      <c r="I9" s="8">
        <f t="shared" si="17"/>
        <v>0.02773229192</v>
      </c>
      <c r="J9" s="9">
        <f t="shared" si="4"/>
        <v>3131.199933</v>
      </c>
      <c r="K9" s="9">
        <f t="shared" si="5"/>
        <v>1444.153872</v>
      </c>
      <c r="L9" s="10">
        <f t="shared" ref="L9:N9" si="18">C9/B9</f>
        <v>1.139519359</v>
      </c>
      <c r="M9" s="11">
        <f t="shared" si="18"/>
        <v>2747.825132</v>
      </c>
      <c r="N9" s="12">
        <f t="shared" si="18"/>
        <v>0.4612141999</v>
      </c>
    </row>
    <row r="10">
      <c r="A10" s="5">
        <v>9.0</v>
      </c>
      <c r="B10" s="6">
        <v>3360.0</v>
      </c>
      <c r="C10" s="6">
        <v>3659.0</v>
      </c>
      <c r="D10" s="6">
        <v>7496500.0</v>
      </c>
      <c r="E10" s="6">
        <v>3334100.0</v>
      </c>
      <c r="F10" s="7">
        <f t="shared" ref="F10:I10" si="19">B10/B$12</f>
        <v>0.1056703463</v>
      </c>
      <c r="G10" s="8">
        <f t="shared" si="19"/>
        <v>0.05972902383</v>
      </c>
      <c r="H10" s="8">
        <f t="shared" si="19"/>
        <v>0.02302360198</v>
      </c>
      <c r="I10" s="8">
        <f t="shared" si="19"/>
        <v>0.02137022559</v>
      </c>
      <c r="J10" s="9">
        <f t="shared" si="4"/>
        <v>2231.10119</v>
      </c>
      <c r="K10" s="9">
        <f t="shared" si="5"/>
        <v>992.2916667</v>
      </c>
      <c r="L10" s="10">
        <f t="shared" ref="L10:N10" si="20">C10/B10</f>
        <v>1.088988095</v>
      </c>
      <c r="M10" s="11">
        <f t="shared" si="20"/>
        <v>2048.783821</v>
      </c>
      <c r="N10" s="12">
        <f t="shared" si="20"/>
        <v>0.4447542186</v>
      </c>
    </row>
    <row r="11">
      <c r="A11" s="5">
        <v>10.0</v>
      </c>
      <c r="B11" s="6">
        <v>3186.0</v>
      </c>
      <c r="C11" s="6">
        <v>3270.0</v>
      </c>
      <c r="D11" s="6">
        <v>3740550.0</v>
      </c>
      <c r="E11" s="6">
        <v>1554795.0</v>
      </c>
      <c r="F11" s="7">
        <f t="shared" ref="F11:I11" si="21">B11/B$12</f>
        <v>0.1001981319</v>
      </c>
      <c r="G11" s="8">
        <f t="shared" si="21"/>
        <v>0.05337904016</v>
      </c>
      <c r="H11" s="8">
        <f t="shared" si="21"/>
        <v>0.01148815239</v>
      </c>
      <c r="I11" s="8">
        <f t="shared" si="21"/>
        <v>0.009965603878</v>
      </c>
      <c r="J11" s="9">
        <f t="shared" si="4"/>
        <v>1174.05838</v>
      </c>
      <c r="K11" s="9">
        <f t="shared" si="5"/>
        <v>488.0084746</v>
      </c>
      <c r="L11" s="10">
        <f t="shared" ref="L11:N11" si="22">C11/B11</f>
        <v>1.026365348</v>
      </c>
      <c r="M11" s="11">
        <f t="shared" si="22"/>
        <v>1143.899083</v>
      </c>
      <c r="N11" s="12">
        <f t="shared" si="22"/>
        <v>0.4156594618</v>
      </c>
    </row>
    <row r="12">
      <c r="A12" s="13" t="s">
        <v>14</v>
      </c>
      <c r="B12" s="14">
        <f t="shared" ref="B12:E12" si="23">SUM(B2:B11)</f>
        <v>31797</v>
      </c>
      <c r="C12" s="14">
        <f t="shared" si="23"/>
        <v>61260</v>
      </c>
      <c r="D12" s="14">
        <f t="shared" si="23"/>
        <v>325600660</v>
      </c>
      <c r="E12" s="14">
        <f t="shared" si="23"/>
        <v>156016135</v>
      </c>
      <c r="F12" s="15">
        <f t="shared" ref="F12:I12" si="24">B12/B$12</f>
        <v>1</v>
      </c>
      <c r="G12" s="16">
        <f t="shared" si="24"/>
        <v>1</v>
      </c>
      <c r="H12" s="16">
        <f t="shared" si="24"/>
        <v>1</v>
      </c>
      <c r="I12" s="16">
        <f t="shared" si="24"/>
        <v>1</v>
      </c>
      <c r="J12" s="17"/>
      <c r="K12" s="17">
        <f t="shared" si="5"/>
        <v>4906.630657</v>
      </c>
      <c r="L12" s="18">
        <f t="shared" ref="L12:N12" si="25">C12/B12</f>
        <v>1.926596849</v>
      </c>
      <c r="M12" s="19">
        <f t="shared" si="25"/>
        <v>5315.061378</v>
      </c>
      <c r="N12" s="15">
        <f t="shared" si="25"/>
        <v>0.4791640625</v>
      </c>
    </row>
  </sheetData>
  <drawing r:id="rId1"/>
</worksheet>
</file>